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recep\Downloads\"/>
    </mc:Choice>
  </mc:AlternateContent>
  <bookViews>
    <workbookView xWindow="0" yWindow="0" windowWidth="28800" windowHeight="12210" tabRatio="500"/>
  </bookViews>
  <sheets>
    <sheet name="Agendamentos" sheetId="1" r:id="rId1"/>
    <sheet name="Relação Videos" sheetId="2" r:id="rId2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8" i="1" l="1"/>
  <c r="C11" i="2"/>
  <c r="C9" i="2"/>
  <c r="C7" i="2"/>
  <c r="C6" i="2"/>
  <c r="I5" i="1"/>
  <c r="I7" i="1" s="1"/>
  <c r="I15" i="1" l="1"/>
</calcChain>
</file>

<file path=xl/sharedStrings.xml><?xml version="1.0" encoding="utf-8"?>
<sst xmlns="http://schemas.openxmlformats.org/spreadsheetml/2006/main" count="74" uniqueCount="61">
  <si>
    <t>RELATÓRIO DE AGENDAMENTOS</t>
  </si>
  <si>
    <t>RESUMO</t>
  </si>
  <si>
    <t>Indicador</t>
  </si>
  <si>
    <t>Resultado</t>
  </si>
  <si>
    <t>Nome</t>
  </si>
  <si>
    <t>Data agendada</t>
  </si>
  <si>
    <t>Horário</t>
  </si>
  <si>
    <t>Observações</t>
  </si>
  <si>
    <t>Total agendado</t>
  </si>
  <si>
    <t>Meta do período</t>
  </si>
  <si>
    <t>Atingimento da meta</t>
  </si>
  <si>
    <t>ATIVIDADE COMERCIAL</t>
  </si>
  <si>
    <t>Ligações realizadas</t>
  </si>
  <si>
    <t>Contatos por mensagem</t>
  </si>
  <si>
    <t>Contatos por WhatsApp</t>
  </si>
  <si>
    <t>Conversão sobre ligações</t>
  </si>
  <si>
    <t>PRIORIDADES</t>
  </si>
  <si>
    <t>Foco total nos agendamentos</t>
  </si>
  <si>
    <t>Controle de Vídeos Aulas</t>
  </si>
  <si>
    <t>Classificar Vídeos ou Areas Importantes e Motivo</t>
  </si>
  <si>
    <t>Valor</t>
  </si>
  <si>
    <t>Vídeo Aula</t>
  </si>
  <si>
    <t>Motivo</t>
  </si>
  <si>
    <t>Total de vídeos</t>
  </si>
  <si>
    <t>Abordagem De Agendamento</t>
  </si>
  <si>
    <t>Aproveitar o momento da ligação para realmente convencer o paciente que é necessário dar continuidade no tratamento</t>
  </si>
  <si>
    <t>Vídeos assistidos</t>
  </si>
  <si>
    <t>Vídeos restantes</t>
  </si>
  <si>
    <t>Help Desk</t>
  </si>
  <si>
    <t>Parte relacionada a TI desta forma estou mais ambientalizado com as ferramentas ultilizadas. Como chamados, sistemas, alterações internas dentro dos sistemas.</t>
  </si>
  <si>
    <t>Progresso</t>
  </si>
  <si>
    <t>Dias Assistidos</t>
  </si>
  <si>
    <t>Média Vídeos/dia</t>
  </si>
  <si>
    <t>Horas estudadas/dia</t>
  </si>
  <si>
    <t>Média vídeos/hora</t>
  </si>
  <si>
    <r>
      <rPr>
        <sz val="10"/>
        <color rgb="FFFFFFFF"/>
        <rFont val="Arial"/>
        <family val="2"/>
      </rPr>
      <t xml:space="preserve">Conclusão Tratamento Alta Pedido
</t>
    </r>
  </si>
  <si>
    <t>Relação dos Videos com Maiores Tentativas</t>
  </si>
  <si>
    <t>Tentativas</t>
  </si>
  <si>
    <t>Conclusão Tratamento Alta Pedido</t>
  </si>
  <si>
    <t>Até 6 tentativas, devido a pergunta entre linhas</t>
  </si>
  <si>
    <t>Alairton</t>
  </si>
  <si>
    <t>Fabio</t>
  </si>
  <si>
    <t>Ariadna</t>
  </si>
  <si>
    <t>Aclecio</t>
  </si>
  <si>
    <t>Cibele</t>
  </si>
  <si>
    <t>Valdomiro</t>
  </si>
  <si>
    <t>Lilian</t>
  </si>
  <si>
    <t>Franklin</t>
  </si>
  <si>
    <t>Agendados em 03/08/2026</t>
  </si>
  <si>
    <r>
      <t xml:space="preserve">Controle de agenda e acompanhamento de metas dia  </t>
    </r>
    <r>
      <rPr>
        <b/>
        <sz val="14"/>
        <color theme="8" tint="0.59999389629810485"/>
        <rFont val="Arial"/>
        <family val="2"/>
      </rPr>
      <t>03/08/2026</t>
    </r>
  </si>
  <si>
    <t>Anderson</t>
  </si>
  <si>
    <t>lucas</t>
  </si>
  <si>
    <t>Marcio</t>
  </si>
  <si>
    <t>Amanda</t>
  </si>
  <si>
    <t xml:space="preserve">Matheus </t>
  </si>
  <si>
    <t>Vitor</t>
  </si>
  <si>
    <t>Andre</t>
  </si>
  <si>
    <t>04:08/2026</t>
  </si>
  <si>
    <t>Kaua</t>
  </si>
  <si>
    <t>Meta de 13 agendamentos para 03/08/2026</t>
  </si>
  <si>
    <t>Bruna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</si>
</sst>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R$-416]\ #,##0.00;[Red]\-[$R$-416]\ #,##0.00"/>
  </numFmts>
  <fonts count="26" x14ac:knownFonts="1">
    <font>
      <sz val="10"/>
      <name val="Arial"/>
      <family val="2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DDE8EF"/>
      <name val="Arial"/>
      <charset val="1"/>
    </font>
    <font>
      <b/>
      <sz val="10"/>
      <color rgb="FF17324D"/>
      <name val="Arial"/>
      <charset val="1"/>
    </font>
    <font>
      <sz val="10"/>
      <color rgb="FF263746"/>
      <name val="Arial"/>
      <charset val="1"/>
    </font>
    <font>
      <sz val="10"/>
      <color rgb="FF224B12"/>
      <name val="Arial"/>
      <family val="2"/>
      <charset val="1"/>
    </font>
    <font>
      <b/>
      <sz val="14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1"/>
      <color rgb="FFFFFFFF"/>
      <name val="Cambria"/>
      <charset val="1"/>
    </font>
    <font>
      <b/>
      <sz val="10"/>
      <name val="Arial"/>
      <family val="2"/>
      <charset val="1"/>
    </font>
    <font>
      <b/>
      <sz val="10"/>
      <color rgb="FF069A2E"/>
      <name val="Arial"/>
      <family val="2"/>
      <charset val="1"/>
    </font>
    <font>
      <b/>
      <sz val="10"/>
      <color rgb="FF000000"/>
      <name val="Arial"/>
      <family val="2"/>
      <charset val="1"/>
    </font>
    <font>
      <sz val="9"/>
      <name val="Arial"/>
      <family val="2"/>
      <charset val="1"/>
    </font>
    <font>
      <b/>
      <sz val="10"/>
      <color rgb="FFFF0000"/>
      <name val="Arial"/>
      <family val="2"/>
      <charset val="1"/>
    </font>
    <font>
      <sz val="10"/>
      <color rgb="FFFFFFFF"/>
      <name val="Arial"/>
      <family val="2"/>
    </font>
    <font>
      <b/>
      <sz val="11"/>
      <name val="Arial"/>
      <family val="2"/>
      <charset val="1"/>
    </font>
    <font>
      <sz val="10"/>
      <color rgb="FF000000"/>
      <name val="Times New Roman"/>
      <family val="1"/>
    </font>
    <font>
      <sz val="10.5"/>
      <color rgb="FF000000"/>
      <name val="Cambria"/>
      <charset val="1"/>
    </font>
    <font>
      <b/>
      <sz val="10"/>
      <color theme="4" tint="-0.249977111117893"/>
      <name val="Arial"/>
      <family val="2"/>
    </font>
    <font>
      <b/>
      <sz val="14"/>
      <color theme="4" tint="-0.249977111117893"/>
      <name val="Arial"/>
      <family val="2"/>
    </font>
    <font>
      <sz val="10"/>
      <color rgb="FF263746"/>
      <name val="Arial"/>
      <family val="2"/>
    </font>
    <font>
      <sz val="10"/>
      <name val="Arial"/>
      <family val="2"/>
    </font>
    <font>
      <b/>
      <sz val="14"/>
      <color theme="8" tint="0.59999389629810485"/>
      <name val="Arial"/>
      <family val="2"/>
    </font>
    <font>
      <sz val="10"/>
      <color rgb="FFDDE8EF"/>
      <name val="Arial"/>
      <family val="2"/>
    </font>
    <font>
      <u/>
      <sz val="10"/>
      <color rgb="FF263746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7F9FA"/>
      </patternFill>
    </fill>
    <fill>
      <patternFill patternType="solid">
        <fgColor rgb="FF17324D"/>
        <bgColor rgb="FF263746"/>
      </patternFill>
    </fill>
    <fill>
      <patternFill patternType="solid">
        <fgColor rgb="FFEEF3F7"/>
        <bgColor rgb="FFF7F9FA"/>
      </patternFill>
    </fill>
    <fill>
      <patternFill patternType="solid">
        <fgColor rgb="FF2F5D7C"/>
        <bgColor rgb="FF2A6099"/>
      </patternFill>
    </fill>
    <fill>
      <patternFill patternType="solid">
        <fgColor rgb="FFF7F9FA"/>
        <bgColor rgb="FFFFFFFF"/>
      </patternFill>
    </fill>
    <fill>
      <patternFill patternType="solid">
        <fgColor rgb="FF2A6099"/>
        <bgColor rgb="FF2F5D7C"/>
      </patternFill>
    </fill>
    <fill>
      <patternFill patternType="solid">
        <fgColor rgb="FF729FCF"/>
        <bgColor rgb="FF969696"/>
      </patternFill>
    </fill>
    <fill>
      <patternFill patternType="solid">
        <fgColor rgb="FF1F4E78"/>
        <bgColor rgb="FF355269"/>
      </patternFill>
    </fill>
    <fill>
      <patternFill patternType="solid">
        <fgColor rgb="FF355269"/>
        <bgColor rgb="FF2F5D7C"/>
      </patternFill>
    </fill>
    <fill>
      <patternFill patternType="solid">
        <fgColor rgb="FFB7B3CA"/>
        <bgColor rgb="FFCC99FF"/>
      </patternFill>
    </fill>
    <fill>
      <patternFill patternType="solid">
        <fgColor rgb="FF158466"/>
        <bgColor rgb="FF2F7D63"/>
      </patternFill>
    </fill>
    <fill>
      <patternFill patternType="solid">
        <fgColor rgb="FF127622"/>
        <bgColor rgb="FF158466"/>
      </patternFill>
    </fill>
  </fills>
  <borders count="10">
    <border>
      <left/>
      <right/>
      <top/>
      <bottom/>
      <diagonal/>
    </border>
    <border>
      <left style="thin">
        <color rgb="FFD9E2E8"/>
      </left>
      <right/>
      <top style="thin">
        <color rgb="FFD9E2E8"/>
      </top>
      <bottom style="thin">
        <color rgb="FFD9E2E8"/>
      </bottom>
      <diagonal/>
    </border>
    <border>
      <left/>
      <right style="thin">
        <color rgb="FFD9E2E8"/>
      </right>
      <top style="thin">
        <color rgb="FFD9E2E8"/>
      </top>
      <bottom style="thin">
        <color rgb="FFD9E2E8"/>
      </bottom>
      <diagonal/>
    </border>
    <border>
      <left style="thin">
        <color rgb="FF2F5D7C"/>
      </left>
      <right/>
      <top style="thin">
        <color rgb="FF2F5D7C"/>
      </top>
      <bottom style="thin">
        <color rgb="FF2F5D7C"/>
      </bottom>
      <diagonal/>
    </border>
    <border>
      <left/>
      <right/>
      <top style="thin">
        <color rgb="FF2F5D7C"/>
      </top>
      <bottom style="thin">
        <color rgb="FF2F5D7C"/>
      </bottom>
      <diagonal/>
    </border>
    <border>
      <left/>
      <right style="thin">
        <color rgb="FF2F5D7C"/>
      </right>
      <top style="thin">
        <color rgb="FF2F5D7C"/>
      </top>
      <bottom style="thin">
        <color rgb="FF2F5D7C"/>
      </bottom>
      <diagonal/>
    </border>
    <border>
      <left/>
      <right/>
      <top style="thin">
        <color rgb="FFD9E2E8"/>
      </top>
      <bottom style="thin">
        <color rgb="FFD9E2E8"/>
      </bottom>
      <diagonal/>
    </border>
    <border>
      <left/>
      <right/>
      <top/>
      <bottom style="thin">
        <color rgb="FFD9E2E8"/>
      </bottom>
      <diagonal/>
    </border>
    <border>
      <left/>
      <right/>
      <top style="thin">
        <color rgb="FFD9E2E8"/>
      </top>
      <bottom/>
      <diagonal/>
    </border>
    <border>
      <left/>
      <right/>
      <top/>
      <bottom style="thin">
        <color rgb="FF2F5D7C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0" xfId="0" applyFont="1" applyFill="1" applyAlignment="1" applyProtection="1"/>
    <xf numFmtId="0" fontId="2" fillId="2" borderId="0" xfId="0" applyFont="1" applyFill="1" applyAlignment="1" applyProtection="1">
      <alignment horizontal="left" vertical="center"/>
    </xf>
    <xf numFmtId="0" fontId="4" fillId="4" borderId="1" xfId="0" applyFont="1" applyFill="1" applyBorder="1" applyAlignment="1" applyProtection="1">
      <alignment vertical="center"/>
    </xf>
    <xf numFmtId="0" fontId="4" fillId="4" borderId="2" xfId="0" applyFont="1" applyFill="1" applyBorder="1" applyAlignment="1" applyProtection="1">
      <alignment vertical="center"/>
    </xf>
    <xf numFmtId="0" fontId="2" fillId="5" borderId="3" xfId="0" applyFont="1" applyFill="1" applyBorder="1" applyAlignment="1" applyProtection="1">
      <alignment horizontal="left" vertical="center"/>
    </xf>
    <xf numFmtId="0" fontId="2" fillId="5" borderId="4" xfId="0" applyFont="1" applyFill="1" applyBorder="1" applyAlignment="1" applyProtection="1">
      <alignment horizontal="left" vertical="center"/>
    </xf>
    <xf numFmtId="0" fontId="2" fillId="5" borderId="5" xfId="0" applyFont="1" applyFill="1" applyBorder="1" applyAlignment="1" applyProtection="1">
      <alignment horizontal="left" vertical="center"/>
    </xf>
    <xf numFmtId="0" fontId="5" fillId="0" borderId="6" xfId="0" applyFont="1" applyBorder="1" applyAlignment="1" applyProtection="1">
      <alignment vertical="center"/>
    </xf>
    <xf numFmtId="0" fontId="5" fillId="0" borderId="7" xfId="0" applyFont="1" applyBorder="1" applyAlignment="1" applyProtection="1">
      <alignment horizontal="left" vertical="center"/>
    </xf>
    <xf numFmtId="14" fontId="5" fillId="2" borderId="7" xfId="0" applyNumberFormat="1" applyFont="1" applyFill="1" applyBorder="1" applyAlignment="1" applyProtection="1">
      <alignment horizontal="center" vertical="center"/>
    </xf>
    <xf numFmtId="20" fontId="5" fillId="2" borderId="7" xfId="0" applyNumberFormat="1" applyFont="1" applyFill="1" applyBorder="1" applyAlignment="1" applyProtection="1">
      <alignment horizontal="center" vertical="center"/>
    </xf>
    <xf numFmtId="0" fontId="5" fillId="2" borderId="7" xfId="0" applyFont="1" applyFill="1" applyBorder="1" applyAlignment="1" applyProtection="1">
      <alignment horizontal="left" vertical="center" wrapText="1"/>
    </xf>
    <xf numFmtId="0" fontId="5" fillId="0" borderId="6" xfId="0" applyFont="1" applyBorder="1" applyAlignment="1" applyProtection="1">
      <alignment horizontal="left" vertical="center"/>
    </xf>
    <xf numFmtId="14" fontId="5" fillId="2" borderId="6" xfId="0" applyNumberFormat="1" applyFont="1" applyFill="1" applyBorder="1" applyAlignment="1" applyProtection="1">
      <alignment horizontal="center" vertical="center"/>
    </xf>
    <xf numFmtId="20" fontId="5" fillId="2" borderId="6" xfId="0" applyNumberFormat="1" applyFont="1" applyFill="1" applyBorder="1" applyAlignment="1" applyProtection="1">
      <alignment horizontal="center" vertical="center"/>
    </xf>
    <xf numFmtId="0" fontId="5" fillId="2" borderId="6" xfId="0" applyFont="1" applyFill="1" applyBorder="1" applyAlignment="1" applyProtection="1">
      <alignment horizontal="left" vertical="center" wrapText="1"/>
    </xf>
    <xf numFmtId="0" fontId="4" fillId="4" borderId="7" xfId="0" applyFont="1" applyFill="1" applyBorder="1" applyAlignment="1" applyProtection="1">
      <alignment vertical="center"/>
    </xf>
    <xf numFmtId="0" fontId="4" fillId="4" borderId="6" xfId="0" applyFont="1" applyFill="1" applyBorder="1" applyAlignment="1" applyProtection="1">
      <alignment vertical="center"/>
    </xf>
    <xf numFmtId="0" fontId="4" fillId="4" borderId="8" xfId="0" applyFont="1" applyFill="1" applyBorder="1" applyAlignment="1" applyProtection="1">
      <alignment vertical="center"/>
    </xf>
    <xf numFmtId="0" fontId="5" fillId="6" borderId="7" xfId="0" applyFont="1" applyFill="1" applyBorder="1" applyAlignment="1" applyProtection="1">
      <alignment vertical="center"/>
    </xf>
    <xf numFmtId="0" fontId="5" fillId="6" borderId="6" xfId="0" applyFont="1" applyFill="1" applyBorder="1" applyAlignment="1" applyProtection="1">
      <alignment vertical="center"/>
    </xf>
    <xf numFmtId="0" fontId="5" fillId="6" borderId="8" xfId="0" applyFont="1" applyFill="1" applyBorder="1" applyAlignment="1" applyProtection="1">
      <alignment vertical="center"/>
    </xf>
    <xf numFmtId="14" fontId="5" fillId="0" borderId="6" xfId="0" applyNumberFormat="1" applyFont="1" applyBorder="1" applyAlignment="1" applyProtection="1">
      <alignment horizontal="center" vertical="center"/>
    </xf>
    <xf numFmtId="20" fontId="5" fillId="0" borderId="6" xfId="0" applyNumberFormat="1" applyFont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left" vertical="center" wrapText="1"/>
    </xf>
    <xf numFmtId="0" fontId="5" fillId="0" borderId="8" xfId="0" applyFont="1" applyBorder="1" applyAlignment="1" applyProtection="1">
      <alignment horizontal="left" vertical="center"/>
    </xf>
    <xf numFmtId="14" fontId="5" fillId="0" borderId="8" xfId="0" applyNumberFormat="1" applyFont="1" applyBorder="1" applyAlignment="1" applyProtection="1">
      <alignment horizontal="center" vertical="center"/>
    </xf>
    <xf numFmtId="20" fontId="5" fillId="0" borderId="8" xfId="0" applyNumberFormat="1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left" vertical="center" wrapText="1"/>
    </xf>
    <xf numFmtId="0" fontId="0" fillId="2" borderId="0" xfId="0" applyFill="1" applyAlignment="1" applyProtection="1"/>
    <xf numFmtId="0" fontId="0" fillId="2" borderId="0" xfId="0" applyFill="1" applyAlignment="1" applyProtection="1">
      <alignment horizontal="center"/>
    </xf>
    <xf numFmtId="0" fontId="0" fillId="2" borderId="0" xfId="0" applyFill="1" applyAlignment="1" applyProtection="1">
      <alignment horizontal="left"/>
    </xf>
    <xf numFmtId="0" fontId="0" fillId="2" borderId="0" xfId="0" applyFill="1"/>
    <xf numFmtId="0" fontId="6" fillId="2" borderId="0" xfId="0" applyFont="1" applyFill="1" applyAlignment="1" applyProtection="1"/>
    <xf numFmtId="0" fontId="9" fillId="9" borderId="0" xfId="0" applyFont="1" applyFill="1" applyAlignment="1" applyProtection="1">
      <alignment horizontal="center" vertical="center"/>
    </xf>
    <xf numFmtId="0" fontId="0" fillId="2" borderId="0" xfId="0" applyFill="1" applyAlignment="1" applyProtection="1">
      <alignment vertical="center"/>
    </xf>
    <xf numFmtId="0" fontId="10" fillId="2" borderId="0" xfId="0" applyFont="1" applyFill="1" applyAlignment="1" applyProtection="1">
      <alignment horizontal="center"/>
    </xf>
    <xf numFmtId="0" fontId="8" fillId="2" borderId="0" xfId="0" applyFont="1" applyFill="1" applyBorder="1" applyAlignment="1" applyProtection="1">
      <alignment horizontal="center" vertical="center"/>
    </xf>
    <xf numFmtId="0" fontId="8" fillId="2" borderId="0" xfId="0" applyFont="1" applyFill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 vertical="center"/>
    </xf>
    <xf numFmtId="0" fontId="9" fillId="2" borderId="0" xfId="0" applyFont="1" applyFill="1" applyBorder="1" applyAlignment="1" applyProtection="1">
      <alignment horizontal="center" vertical="center"/>
    </xf>
    <xf numFmtId="0" fontId="15" fillId="2" borderId="0" xfId="0" applyFont="1" applyFill="1" applyAlignment="1" applyProtection="1">
      <alignment horizontal="center" vertical="center" wrapText="1"/>
    </xf>
    <xf numFmtId="0" fontId="0" fillId="2" borderId="0" xfId="0" applyFont="1" applyFill="1" applyBorder="1" applyAlignment="1" applyProtection="1">
      <alignment horizontal="center" vertical="center"/>
    </xf>
    <xf numFmtId="0" fontId="19" fillId="0" borderId="8" xfId="0" applyFont="1" applyBorder="1" applyAlignment="1" applyProtection="1">
      <alignment vertical="center"/>
    </xf>
    <xf numFmtId="1" fontId="20" fillId="0" borderId="8" xfId="0" applyNumberFormat="1" applyFont="1" applyBorder="1" applyAlignment="1" applyProtection="1">
      <alignment horizontal="center" vertical="center"/>
    </xf>
    <xf numFmtId="1" fontId="4" fillId="0" borderId="6" xfId="0" applyNumberFormat="1" applyFont="1" applyBorder="1" applyAlignment="1" applyProtection="1">
      <alignment horizontal="center" vertical="center"/>
    </xf>
    <xf numFmtId="9" fontId="4" fillId="0" borderId="6" xfId="0" applyNumberFormat="1" applyFont="1" applyBorder="1" applyAlignment="1" applyProtection="1">
      <alignment horizontal="center" vertical="center"/>
    </xf>
    <xf numFmtId="1" fontId="5" fillId="0" borderId="7" xfId="0" applyNumberFormat="1" applyFont="1" applyBorder="1" applyAlignment="1" applyProtection="1">
      <alignment horizontal="center" vertical="center"/>
    </xf>
    <xf numFmtId="1" fontId="5" fillId="0" borderId="6" xfId="0" applyNumberFormat="1" applyFont="1" applyBorder="1" applyAlignment="1" applyProtection="1">
      <alignment horizontal="center" vertical="center"/>
    </xf>
    <xf numFmtId="9" fontId="5" fillId="0" borderId="8" xfId="0" applyNumberFormat="1" applyFont="1" applyBorder="1" applyAlignment="1" applyProtection="1">
      <alignment horizontal="center" vertical="center"/>
    </xf>
    <xf numFmtId="0" fontId="21" fillId="0" borderId="6" xfId="0" applyFont="1" applyBorder="1" applyAlignment="1" applyProtection="1">
      <alignment horizontal="left" vertical="center"/>
    </xf>
    <xf numFmtId="0" fontId="25" fillId="0" borderId="6" xfId="0" applyFont="1" applyBorder="1" applyAlignment="1" applyProtection="1">
      <alignment horizontal="left" vertical="center"/>
    </xf>
    <xf numFmtId="0" fontId="21" fillId="6" borderId="7" xfId="0" applyFont="1" applyFill="1" applyBorder="1" applyAlignment="1" applyProtection="1">
      <alignment vertical="center"/>
    </xf>
    <xf numFmtId="0" fontId="5" fillId="6" borderId="7" xfId="0" applyFont="1" applyFill="1" applyBorder="1" applyAlignment="1" applyProtection="1">
      <alignment vertical="center"/>
    </xf>
    <xf numFmtId="0" fontId="5" fillId="6" borderId="6" xfId="0" applyFont="1" applyFill="1" applyBorder="1" applyAlignment="1" applyProtection="1">
      <alignment vertical="center"/>
    </xf>
    <xf numFmtId="0" fontId="21" fillId="6" borderId="8" xfId="0" applyFont="1" applyFill="1" applyBorder="1" applyAlignment="1" applyProtection="1">
      <alignment vertical="center"/>
    </xf>
    <xf numFmtId="0" fontId="5" fillId="6" borderId="8" xfId="0" applyFont="1" applyFill="1" applyBorder="1" applyAlignment="1" applyProtection="1">
      <alignment vertical="center"/>
    </xf>
    <xf numFmtId="0" fontId="22" fillId="2" borderId="9" xfId="0" applyFont="1" applyFill="1" applyBorder="1" applyAlignment="1" applyProtection="1">
      <alignment horizontal="center"/>
    </xf>
    <xf numFmtId="0" fontId="1" fillId="2" borderId="9" xfId="0" applyFont="1" applyFill="1" applyBorder="1" applyAlignment="1" applyProtection="1">
      <alignment horizontal="center"/>
    </xf>
    <xf numFmtId="0" fontId="2" fillId="3" borderId="0" xfId="0" applyFont="1" applyFill="1" applyBorder="1" applyAlignment="1" applyProtection="1">
      <alignment horizontal="center" vertical="center"/>
    </xf>
    <xf numFmtId="0" fontId="2" fillId="3" borderId="0" xfId="0" applyFont="1" applyFill="1" applyBorder="1" applyAlignment="1" applyProtection="1">
      <alignment horizontal="left" vertical="center"/>
    </xf>
    <xf numFmtId="0" fontId="24" fillId="3" borderId="0" xfId="0" applyFont="1" applyFill="1" applyBorder="1" applyAlignment="1" applyProtection="1">
      <alignment horizontal="center" vertical="center"/>
    </xf>
    <xf numFmtId="0" fontId="3" fillId="3" borderId="0" xfId="0" applyFont="1" applyFill="1" applyBorder="1" applyAlignment="1" applyProtection="1">
      <alignment horizontal="center" vertical="center"/>
    </xf>
    <xf numFmtId="0" fontId="9" fillId="2" borderId="0" xfId="0" applyFont="1" applyFill="1" applyBorder="1" applyAlignment="1" applyProtection="1">
      <alignment horizontal="center" vertical="center"/>
    </xf>
    <xf numFmtId="0" fontId="0" fillId="2" borderId="0" xfId="0" applyFill="1" applyAlignment="1" applyProtection="1">
      <alignment horizontal="center"/>
    </xf>
    <xf numFmtId="0" fontId="0" fillId="2" borderId="0" xfId="0" applyFill="1" applyBorder="1" applyAlignment="1" applyProtection="1">
      <alignment horizontal="center"/>
    </xf>
    <xf numFmtId="0" fontId="9" fillId="9" borderId="0" xfId="0" applyFont="1" applyFill="1" applyAlignment="1" applyProtection="1">
      <alignment horizontal="center" vertical="center"/>
    </xf>
    <xf numFmtId="0" fontId="9" fillId="10" borderId="0" xfId="0" applyFont="1" applyFill="1" applyBorder="1" applyAlignment="1" applyProtection="1">
      <alignment horizontal="center" vertical="center"/>
    </xf>
    <xf numFmtId="0" fontId="17" fillId="2" borderId="0" xfId="0" applyFont="1" applyFill="1" applyAlignment="1" applyProtection="1">
      <alignment horizontal="center"/>
    </xf>
    <xf numFmtId="0" fontId="18" fillId="2" borderId="0" xfId="0" applyFont="1" applyFill="1" applyBorder="1" applyAlignment="1" applyProtection="1">
      <alignment horizontal="center" vertical="center"/>
    </xf>
    <xf numFmtId="0" fontId="10" fillId="8" borderId="0" xfId="0" applyFont="1" applyFill="1" applyBorder="1" applyAlignment="1" applyProtection="1">
      <alignment horizontal="center"/>
    </xf>
    <xf numFmtId="0" fontId="10" fillId="2" borderId="0" xfId="0" applyFont="1" applyFill="1" applyBorder="1" applyAlignment="1" applyProtection="1">
      <alignment horizontal="center"/>
    </xf>
    <xf numFmtId="0" fontId="13" fillId="2" borderId="0" xfId="0" applyFont="1" applyFill="1" applyBorder="1" applyAlignment="1" applyProtection="1">
      <alignment horizontal="justify" vertical="center"/>
    </xf>
    <xf numFmtId="0" fontId="16" fillId="7" borderId="0" xfId="0" applyFont="1" applyFill="1" applyBorder="1" applyAlignment="1" applyProtection="1">
      <alignment horizontal="center" vertical="center"/>
    </xf>
    <xf numFmtId="0" fontId="14" fillId="8" borderId="0" xfId="0" applyFont="1" applyFill="1" applyBorder="1" applyAlignment="1" applyProtection="1">
      <alignment horizontal="center"/>
    </xf>
    <xf numFmtId="0" fontId="12" fillId="12" borderId="0" xfId="0" applyFont="1" applyFill="1" applyBorder="1" applyAlignment="1" applyProtection="1">
      <alignment horizontal="center" vertical="center"/>
    </xf>
    <xf numFmtId="10" fontId="10" fillId="13" borderId="0" xfId="0" applyNumberFormat="1" applyFont="1" applyFill="1" applyBorder="1" applyAlignment="1" applyProtection="1">
      <alignment horizontal="center"/>
    </xf>
    <xf numFmtId="0" fontId="7" fillId="7" borderId="0" xfId="0" applyFont="1" applyFill="1" applyBorder="1" applyAlignment="1" applyProtection="1">
      <alignment horizontal="center" vertical="center"/>
    </xf>
    <xf numFmtId="0" fontId="8" fillId="8" borderId="0" xfId="0" applyFont="1" applyFill="1" applyBorder="1" applyAlignment="1" applyProtection="1">
      <alignment horizontal="center" vertical="center"/>
    </xf>
    <xf numFmtId="0" fontId="9" fillId="9" borderId="0" xfId="0" applyFont="1" applyFill="1" applyBorder="1" applyAlignment="1" applyProtection="1">
      <alignment horizontal="center" vertical="center"/>
    </xf>
    <xf numFmtId="0" fontId="11" fillId="2" borderId="0" xfId="0" applyFont="1" applyFill="1" applyBorder="1" applyAlignment="1" applyProtection="1">
      <alignment horizontal="center"/>
    </xf>
    <xf numFmtId="0" fontId="12" fillId="11" borderId="0" xfId="0" applyFont="1" applyFill="1" applyBorder="1" applyAlignment="1" applyProtection="1">
      <alignment horizontal="center" vertical="center"/>
    </xf>
    <xf numFmtId="164" fontId="13" fillId="2" borderId="0" xfId="0" applyNumberFormat="1" applyFont="1" applyFill="1" applyBorder="1" applyAlignment="1" applyProtection="1">
      <alignment horizontal="justify" vertical="center"/>
    </xf>
  </cellXfs>
  <cellStyles count="1">
    <cellStyle name="Normal" xfId="0" builtinId="0"/>
  </cellStyles>
  <dxfs count="1">
    <dxf>
      <font>
        <b/>
        <color rgb="FF2F7D63"/>
      </font>
      <fill>
        <patternFill>
          <bgColor rgb="FFE3F1EB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622"/>
      <rgbColor rgb="FF000080"/>
      <rgbColor rgb="FF808000"/>
      <rgbColor rgb="FF800080"/>
      <rgbColor rgb="FF158466"/>
      <rgbColor rgb="FFB7B3CA"/>
      <rgbColor rgb="FF808080"/>
      <rgbColor rgb="FF729FCF"/>
      <rgbColor rgb="FF993366"/>
      <rgbColor rgb="FFF7F9FA"/>
      <rgbColor rgb="FFE3F1EB"/>
      <rgbColor rgb="FF660066"/>
      <rgbColor rgb="FFFF8080"/>
      <rgbColor rgb="FF2A6099"/>
      <rgbColor rgb="FFD9E2E8"/>
      <rgbColor rgb="FF000080"/>
      <rgbColor rgb="FFFF00FF"/>
      <rgbColor rgb="FFFFFF00"/>
      <rgbColor rgb="FF00FFFF"/>
      <rgbColor rgb="FF800080"/>
      <rgbColor rgb="FF800000"/>
      <rgbColor rgb="FF069A2E"/>
      <rgbColor rgb="FF0000FF"/>
      <rgbColor rgb="FF00CCFF"/>
      <rgbColor rgb="FFDDE8EF"/>
      <rgbColor rgb="FFEEF3F7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5D7C"/>
      <rgbColor rgb="FF969696"/>
      <rgbColor rgb="FF17324D"/>
      <rgbColor rgb="FF2F7D63"/>
      <rgbColor rgb="FF355269"/>
      <rgbColor rgb="FF224B12"/>
      <rgbColor rgb="FF993300"/>
      <rgbColor rgb="FF993366"/>
      <rgbColor rgb="FF1F4E78"/>
      <rgbColor rgb="FF2637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AgendamentosTable" displayName="AgendamentosTable" ref="B5:E105" totalsRowShown="0">
  <autoFilter ref="B5:E105"/>
  <tableColumns count="4">
    <tableColumn id="1" name="Nome"/>
    <tableColumn id="2" name="Data agendada"/>
    <tableColumn id="3" name="Horário"/>
    <tableColumn id="4" name="Observaçõ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05"/>
  <sheetViews>
    <sheetView showGridLines="0" tabSelected="1" zoomScaleNormal="100" workbookViewId="0">
      <selection activeCell="B23" sqref="B23"/>
    </sheetView>
  </sheetViews>
  <sheetFormatPr defaultColWidth="11.5703125" defaultRowHeight="12.75" x14ac:dyDescent="0.2"/>
  <cols>
    <col min="1" max="1" width="2.42578125" style="1" customWidth="1"/>
    <col min="2" max="2" width="22" style="1" customWidth="1"/>
    <col min="3" max="3" width="16" style="1" customWidth="1"/>
    <col min="4" max="4" width="13" style="1" customWidth="1"/>
    <col min="5" max="5" width="56" style="1" customWidth="1"/>
    <col min="6" max="7" width="3" style="1" customWidth="1"/>
    <col min="8" max="8" width="25" style="1" customWidth="1"/>
    <col min="9" max="10" width="18" style="1" customWidth="1"/>
    <col min="11" max="11" width="2.5703125" style="1" customWidth="1"/>
    <col min="12" max="12" width="21.5703125" style="1" customWidth="1"/>
    <col min="13" max="13" width="3.28515625" style="1" customWidth="1"/>
    <col min="14" max="16384" width="11.5703125" style="1"/>
  </cols>
  <sheetData>
    <row r="2" spans="2:10" ht="27" customHeight="1" x14ac:dyDescent="0.2">
      <c r="B2" s="60" t="s">
        <v>0</v>
      </c>
      <c r="C2" s="60"/>
      <c r="D2" s="60"/>
      <c r="E2" s="60"/>
      <c r="H2" s="61" t="s">
        <v>1</v>
      </c>
      <c r="I2" s="61"/>
      <c r="J2" s="2"/>
    </row>
    <row r="3" spans="2:10" ht="22.5" customHeight="1" x14ac:dyDescent="0.2">
      <c r="B3" s="62" t="s">
        <v>49</v>
      </c>
      <c r="C3" s="63"/>
      <c r="D3" s="63"/>
      <c r="E3" s="63"/>
    </row>
    <row r="4" spans="2:10" ht="24.75" customHeight="1" x14ac:dyDescent="0.2">
      <c r="B4" s="58"/>
      <c r="C4" s="59"/>
      <c r="D4" s="59"/>
      <c r="E4" s="59"/>
      <c r="H4" s="3" t="s">
        <v>2</v>
      </c>
      <c r="I4" s="4" t="s">
        <v>3</v>
      </c>
    </row>
    <row r="5" spans="2:10" ht="24.75" customHeight="1" x14ac:dyDescent="0.2">
      <c r="B5" s="5" t="s">
        <v>4</v>
      </c>
      <c r="C5" s="6" t="s">
        <v>5</v>
      </c>
      <c r="D5" s="6" t="s">
        <v>6</v>
      </c>
      <c r="E5" s="7" t="s">
        <v>7</v>
      </c>
      <c r="H5" s="8" t="s">
        <v>8</v>
      </c>
      <c r="I5" s="46">
        <f>COUNTA(B6:B105)</f>
        <v>17</v>
      </c>
    </row>
    <row r="6" spans="2:10" ht="24.75" customHeight="1" x14ac:dyDescent="0.2">
      <c r="B6" s="9" t="s">
        <v>40</v>
      </c>
      <c r="C6" s="10">
        <v>46238</v>
      </c>
      <c r="D6" s="11">
        <v>0.79166666666666663</v>
      </c>
      <c r="E6" s="12"/>
      <c r="H6" s="8" t="s">
        <v>9</v>
      </c>
      <c r="I6" s="46">
        <v>13</v>
      </c>
    </row>
    <row r="7" spans="2:10" ht="24.75" customHeight="1" x14ac:dyDescent="0.2">
      <c r="B7" s="13" t="s">
        <v>41</v>
      </c>
      <c r="C7" s="14">
        <v>46238</v>
      </c>
      <c r="D7" s="15">
        <v>0.625</v>
      </c>
      <c r="E7" s="16"/>
      <c r="H7" s="8" t="s">
        <v>10</v>
      </c>
      <c r="I7" s="47">
        <f>IFERROR(I5/I6,0)</f>
        <v>1.3076923076923077</v>
      </c>
    </row>
    <row r="8" spans="2:10" ht="24.75" customHeight="1" x14ac:dyDescent="0.2">
      <c r="B8" s="13" t="s">
        <v>42</v>
      </c>
      <c r="C8" s="14">
        <v>46239</v>
      </c>
      <c r="D8" s="15">
        <v>0.41666666666666669</v>
      </c>
      <c r="E8" s="16"/>
      <c r="H8" s="44" t="s">
        <v>48</v>
      </c>
      <c r="I8" s="45">
        <f>COUNTIF(C6:C105,DATE(2026,8,3))</f>
        <v>3</v>
      </c>
    </row>
    <row r="9" spans="2:10" ht="25.5" customHeight="1" x14ac:dyDescent="0.2">
      <c r="B9" s="13" t="s">
        <v>43</v>
      </c>
      <c r="C9" s="14">
        <v>46237</v>
      </c>
      <c r="D9" s="15">
        <v>0.59027777777777779</v>
      </c>
      <c r="E9" s="16"/>
    </row>
    <row r="10" spans="2:10" ht="27" customHeight="1" x14ac:dyDescent="0.2">
      <c r="B10" s="13" t="s">
        <v>44</v>
      </c>
      <c r="C10" s="14">
        <v>46238</v>
      </c>
      <c r="D10" s="15">
        <v>0.61111111111111105</v>
      </c>
      <c r="E10" s="16"/>
      <c r="H10" s="61" t="s">
        <v>11</v>
      </c>
      <c r="I10" s="61"/>
      <c r="J10" s="2"/>
    </row>
    <row r="11" spans="2:10" ht="25.5" customHeight="1" x14ac:dyDescent="0.2">
      <c r="B11" s="13" t="s">
        <v>45</v>
      </c>
      <c r="C11" s="14">
        <v>46238</v>
      </c>
      <c r="D11" s="15">
        <v>0.66666666666666663</v>
      </c>
      <c r="E11" s="16"/>
    </row>
    <row r="12" spans="2:10" ht="24.75" customHeight="1" x14ac:dyDescent="0.2">
      <c r="B12" s="13" t="s">
        <v>46</v>
      </c>
      <c r="C12" s="14">
        <v>46240</v>
      </c>
      <c r="D12" s="15">
        <v>0.41666666666666669</v>
      </c>
      <c r="E12" s="16"/>
      <c r="H12" s="17" t="s">
        <v>12</v>
      </c>
      <c r="I12" s="48">
        <v>18</v>
      </c>
    </row>
    <row r="13" spans="2:10" ht="24.75" customHeight="1" x14ac:dyDescent="0.2">
      <c r="B13" s="13" t="s">
        <v>47</v>
      </c>
      <c r="C13" s="14">
        <v>46238</v>
      </c>
      <c r="D13" s="15">
        <v>0.38194444444444442</v>
      </c>
      <c r="E13" s="16"/>
      <c r="H13" s="18" t="s">
        <v>13</v>
      </c>
      <c r="I13" s="49">
        <v>3</v>
      </c>
    </row>
    <row r="14" spans="2:10" ht="24.75" customHeight="1" x14ac:dyDescent="0.2">
      <c r="B14" s="51" t="s">
        <v>50</v>
      </c>
      <c r="C14" s="14">
        <v>46239</v>
      </c>
      <c r="D14" s="15">
        <v>0.72222222222222221</v>
      </c>
      <c r="E14" s="16"/>
      <c r="H14" s="18" t="s">
        <v>14</v>
      </c>
      <c r="I14" s="49"/>
    </row>
    <row r="15" spans="2:10" ht="24.75" customHeight="1" x14ac:dyDescent="0.2">
      <c r="B15" s="51" t="s">
        <v>51</v>
      </c>
      <c r="C15" s="14">
        <v>46237</v>
      </c>
      <c r="D15" s="15">
        <v>0.80555555555555547</v>
      </c>
      <c r="E15" s="16"/>
      <c r="H15" s="19" t="s">
        <v>15</v>
      </c>
      <c r="I15" s="50">
        <f>IFERROR(I5/I12,0)</f>
        <v>0.94444444444444442</v>
      </c>
    </row>
    <row r="16" spans="2:10" ht="12.75" customHeight="1" x14ac:dyDescent="0.2">
      <c r="B16" s="52" t="s">
        <v>52</v>
      </c>
      <c r="C16" s="14">
        <v>46237</v>
      </c>
      <c r="D16" s="15">
        <v>0.79861111111111116</v>
      </c>
      <c r="E16" s="16"/>
    </row>
    <row r="17" spans="2:10" ht="19.5" customHeight="1" x14ac:dyDescent="0.2">
      <c r="B17" s="13" t="s">
        <v>53</v>
      </c>
      <c r="C17" s="14">
        <v>46241</v>
      </c>
      <c r="D17" s="15">
        <v>0.58333333333333337</v>
      </c>
      <c r="E17" s="16"/>
      <c r="H17" s="61" t="s">
        <v>16</v>
      </c>
      <c r="I17" s="61"/>
      <c r="J17" s="2"/>
    </row>
    <row r="18" spans="2:10" ht="18" customHeight="1" x14ac:dyDescent="0.2">
      <c r="B18" s="13" t="s">
        <v>54</v>
      </c>
      <c r="C18" s="14">
        <v>46242</v>
      </c>
      <c r="D18" s="15">
        <v>0.58333333333333337</v>
      </c>
      <c r="E18" s="16"/>
    </row>
    <row r="19" spans="2:10" ht="25.5" customHeight="1" x14ac:dyDescent="0.2">
      <c r="B19" s="13" t="s">
        <v>55</v>
      </c>
      <c r="C19" s="14">
        <v>46241</v>
      </c>
      <c r="D19" s="15">
        <v>0.70833333333333337</v>
      </c>
      <c r="E19" s="16"/>
      <c r="H19" s="53" t="s">
        <v>59</v>
      </c>
      <c r="I19" s="54"/>
      <c r="J19" s="20"/>
    </row>
    <row r="20" spans="2:10" ht="25.5" customHeight="1" x14ac:dyDescent="0.2">
      <c r="B20" s="13" t="s">
        <v>56</v>
      </c>
      <c r="C20" s="14" t="s">
        <v>57</v>
      </c>
      <c r="D20" s="15">
        <v>0.75</v>
      </c>
      <c r="E20" s="16"/>
      <c r="H20" s="55" t="s">
        <v>17</v>
      </c>
      <c r="I20" s="55"/>
      <c r="J20" s="21"/>
    </row>
    <row r="21" spans="2:10" ht="25.5" customHeight="1" x14ac:dyDescent="0.2">
      <c r="B21" s="13" t="s">
        <v>58</v>
      </c>
      <c r="C21" s="14">
        <v>46240</v>
      </c>
      <c r="D21" s="15">
        <v>0.53472222222222221</v>
      </c>
      <c r="E21" s="16"/>
      <c r="H21" s="56"/>
      <c r="I21" s="57"/>
      <c r="J21" s="22"/>
    </row>
    <row r="22" spans="2:10" ht="12.75" customHeight="1" x14ac:dyDescent="0.2">
      <c r="B22" s="13" t="s">
        <v>60</v>
      </c>
      <c r="C22" s="14">
        <v>46238</v>
      </c>
      <c r="D22" s="15">
        <v>0.79861111111111116</v>
      </c>
      <c r="E22" s="16"/>
    </row>
    <row r="23" spans="2:10" ht="12.75" customHeight="1" x14ac:dyDescent="0.2">
      <c r="B23" s="13"/>
      <c r="C23" s="14"/>
      <c r="D23" s="15"/>
      <c r="E23" s="16"/>
    </row>
    <row r="24" spans="2:10" ht="12.75" customHeight="1" x14ac:dyDescent="0.2">
      <c r="B24" s="13"/>
      <c r="C24" s="14"/>
      <c r="D24" s="15"/>
      <c r="E24" s="16"/>
    </row>
    <row r="25" spans="2:10" ht="12.75" customHeight="1" x14ac:dyDescent="0.2">
      <c r="B25" s="13"/>
      <c r="C25" s="14"/>
      <c r="D25" s="15"/>
      <c r="E25" s="16"/>
    </row>
    <row r="26" spans="2:10" ht="12.75" customHeight="1" x14ac:dyDescent="0.2">
      <c r="B26" s="13"/>
      <c r="C26" s="14"/>
      <c r="D26" s="15"/>
      <c r="E26" s="16"/>
    </row>
    <row r="27" spans="2:10" ht="12.75" customHeight="1" x14ac:dyDescent="0.2">
      <c r="B27" s="13"/>
      <c r="C27" s="14"/>
      <c r="D27" s="15"/>
      <c r="E27" s="16"/>
    </row>
    <row r="28" spans="2:10" ht="12.75" customHeight="1" x14ac:dyDescent="0.2">
      <c r="B28" s="13"/>
      <c r="C28" s="14"/>
      <c r="D28" s="15"/>
      <c r="E28" s="16"/>
    </row>
    <row r="29" spans="2:10" ht="12.75" customHeight="1" x14ac:dyDescent="0.2">
      <c r="B29" s="13"/>
      <c r="C29" s="14"/>
      <c r="D29" s="15"/>
      <c r="E29" s="16"/>
    </row>
    <row r="30" spans="2:10" ht="12.75" customHeight="1" x14ac:dyDescent="0.2">
      <c r="B30" s="13"/>
      <c r="C30" s="14"/>
      <c r="D30" s="15"/>
      <c r="E30" s="16"/>
    </row>
    <row r="31" spans="2:10" ht="12.75" customHeight="1" x14ac:dyDescent="0.2">
      <c r="B31" s="13"/>
      <c r="C31" s="14"/>
      <c r="D31" s="15"/>
      <c r="E31" s="16"/>
    </row>
    <row r="32" spans="2:10" ht="12.75" customHeight="1" x14ac:dyDescent="0.2">
      <c r="B32" s="13"/>
      <c r="C32" s="14"/>
      <c r="D32" s="15"/>
      <c r="E32" s="16"/>
    </row>
    <row r="33" spans="2:5" ht="12.75" customHeight="1" x14ac:dyDescent="0.2">
      <c r="B33" s="13"/>
      <c r="C33" s="14"/>
      <c r="D33" s="15"/>
      <c r="E33" s="16"/>
    </row>
    <row r="34" spans="2:5" ht="12.75" customHeight="1" x14ac:dyDescent="0.2">
      <c r="B34" s="13"/>
      <c r="C34" s="14"/>
      <c r="D34" s="15"/>
      <c r="E34" s="16"/>
    </row>
    <row r="35" spans="2:5" ht="12.75" customHeight="1" x14ac:dyDescent="0.2">
      <c r="B35" s="13"/>
      <c r="C35" s="14"/>
      <c r="D35" s="15"/>
      <c r="E35" s="16"/>
    </row>
    <row r="36" spans="2:5" ht="12.75" customHeight="1" x14ac:dyDescent="0.2">
      <c r="B36" s="13"/>
      <c r="C36" s="14"/>
      <c r="D36" s="15"/>
      <c r="E36" s="16"/>
    </row>
    <row r="37" spans="2:5" ht="12.75" customHeight="1" x14ac:dyDescent="0.2">
      <c r="B37" s="13"/>
      <c r="C37" s="14"/>
      <c r="D37" s="15"/>
      <c r="E37" s="16"/>
    </row>
    <row r="38" spans="2:5" ht="12.75" customHeight="1" x14ac:dyDescent="0.2">
      <c r="B38" s="13"/>
      <c r="C38" s="14"/>
      <c r="D38" s="15"/>
      <c r="E38" s="16"/>
    </row>
    <row r="39" spans="2:5" ht="12.75" customHeight="1" x14ac:dyDescent="0.2">
      <c r="B39" s="13"/>
      <c r="C39" s="14"/>
      <c r="D39" s="15"/>
      <c r="E39" s="16"/>
    </row>
    <row r="40" spans="2:5" ht="12.75" customHeight="1" x14ac:dyDescent="0.2">
      <c r="B40" s="13"/>
      <c r="C40" s="14"/>
      <c r="D40" s="15"/>
      <c r="E40" s="16"/>
    </row>
    <row r="41" spans="2:5" ht="12.75" customHeight="1" x14ac:dyDescent="0.2">
      <c r="B41" s="13"/>
      <c r="C41" s="14"/>
      <c r="D41" s="15"/>
      <c r="E41" s="16"/>
    </row>
    <row r="42" spans="2:5" ht="12.75" customHeight="1" x14ac:dyDescent="0.2">
      <c r="B42" s="13"/>
      <c r="C42" s="14"/>
      <c r="D42" s="15"/>
      <c r="E42" s="16"/>
    </row>
    <row r="43" spans="2:5" ht="12.75" customHeight="1" x14ac:dyDescent="0.2">
      <c r="B43" s="13"/>
      <c r="C43" s="14"/>
      <c r="D43" s="15"/>
      <c r="E43" s="16"/>
    </row>
    <row r="44" spans="2:5" ht="12.75" customHeight="1" x14ac:dyDescent="0.2">
      <c r="B44" s="13"/>
      <c r="C44" s="14"/>
      <c r="D44" s="15"/>
      <c r="E44" s="16"/>
    </row>
    <row r="45" spans="2:5" ht="12.75" customHeight="1" x14ac:dyDescent="0.2">
      <c r="B45" s="13"/>
      <c r="C45" s="14"/>
      <c r="D45" s="15"/>
      <c r="E45" s="16"/>
    </row>
    <row r="46" spans="2:5" ht="12.75" customHeight="1" x14ac:dyDescent="0.2">
      <c r="B46" s="13"/>
      <c r="C46" s="14"/>
      <c r="D46" s="15"/>
      <c r="E46" s="16"/>
    </row>
    <row r="47" spans="2:5" ht="12.75" customHeight="1" x14ac:dyDescent="0.2">
      <c r="B47" s="13"/>
      <c r="C47" s="14"/>
      <c r="D47" s="15"/>
      <c r="E47" s="16"/>
    </row>
    <row r="48" spans="2:5" ht="12.75" customHeight="1" x14ac:dyDescent="0.2">
      <c r="B48" s="13"/>
      <c r="C48" s="14"/>
      <c r="D48" s="15"/>
      <c r="E48" s="16"/>
    </row>
    <row r="49" spans="2:5" ht="12.75" customHeight="1" x14ac:dyDescent="0.2">
      <c r="B49" s="13"/>
      <c r="C49" s="14"/>
      <c r="D49" s="15"/>
      <c r="E49" s="16"/>
    </row>
    <row r="50" spans="2:5" ht="12.75" customHeight="1" x14ac:dyDescent="0.2">
      <c r="B50" s="13"/>
      <c r="C50" s="14"/>
      <c r="D50" s="15"/>
      <c r="E50" s="16"/>
    </row>
    <row r="51" spans="2:5" ht="12.75" customHeight="1" x14ac:dyDescent="0.2">
      <c r="B51" s="13"/>
      <c r="C51" s="14"/>
      <c r="D51" s="15"/>
      <c r="E51" s="16"/>
    </row>
    <row r="52" spans="2:5" ht="12.75" customHeight="1" x14ac:dyDescent="0.2">
      <c r="B52" s="13"/>
      <c r="C52" s="14"/>
      <c r="D52" s="15"/>
      <c r="E52" s="16"/>
    </row>
    <row r="53" spans="2:5" ht="12.75" customHeight="1" x14ac:dyDescent="0.2">
      <c r="B53" s="13"/>
      <c r="C53" s="14"/>
      <c r="D53" s="15"/>
      <c r="E53" s="16"/>
    </row>
    <row r="54" spans="2:5" ht="12.75" customHeight="1" x14ac:dyDescent="0.2">
      <c r="B54" s="13"/>
      <c r="C54" s="14"/>
      <c r="D54" s="15"/>
      <c r="E54" s="16"/>
    </row>
    <row r="55" spans="2:5" ht="12.75" customHeight="1" x14ac:dyDescent="0.2">
      <c r="B55" s="13"/>
      <c r="C55" s="14"/>
      <c r="D55" s="15"/>
      <c r="E55" s="16"/>
    </row>
    <row r="56" spans="2:5" ht="12.75" customHeight="1" x14ac:dyDescent="0.2">
      <c r="B56" s="13"/>
      <c r="C56" s="14"/>
      <c r="D56" s="15"/>
      <c r="E56" s="16"/>
    </row>
    <row r="57" spans="2:5" ht="12.75" customHeight="1" x14ac:dyDescent="0.2">
      <c r="B57" s="13"/>
      <c r="C57" s="14"/>
      <c r="D57" s="15"/>
      <c r="E57" s="16"/>
    </row>
    <row r="58" spans="2:5" ht="12.75" customHeight="1" x14ac:dyDescent="0.2">
      <c r="B58" s="13"/>
      <c r="C58" s="14"/>
      <c r="D58" s="15"/>
      <c r="E58" s="16"/>
    </row>
    <row r="59" spans="2:5" ht="12.75" customHeight="1" x14ac:dyDescent="0.2">
      <c r="B59" s="13"/>
      <c r="C59" s="14"/>
      <c r="D59" s="15"/>
      <c r="E59" s="16"/>
    </row>
    <row r="60" spans="2:5" ht="12.75" customHeight="1" x14ac:dyDescent="0.2">
      <c r="B60" s="13"/>
      <c r="C60" s="14"/>
      <c r="D60" s="15"/>
      <c r="E60" s="16"/>
    </row>
    <row r="61" spans="2:5" ht="12.75" customHeight="1" x14ac:dyDescent="0.2">
      <c r="B61" s="13"/>
      <c r="C61" s="14"/>
      <c r="D61" s="15"/>
      <c r="E61" s="16"/>
    </row>
    <row r="62" spans="2:5" ht="12.75" customHeight="1" x14ac:dyDescent="0.2">
      <c r="B62" s="13"/>
      <c r="C62" s="14"/>
      <c r="D62" s="15"/>
      <c r="E62" s="16"/>
    </row>
    <row r="63" spans="2:5" ht="12.75" customHeight="1" x14ac:dyDescent="0.2">
      <c r="B63" s="13"/>
      <c r="C63" s="14"/>
      <c r="D63" s="15"/>
      <c r="E63" s="16"/>
    </row>
    <row r="64" spans="2:5" ht="12.75" customHeight="1" x14ac:dyDescent="0.2">
      <c r="B64" s="13"/>
      <c r="C64" s="14"/>
      <c r="D64" s="15"/>
      <c r="E64" s="16"/>
    </row>
    <row r="65" spans="2:5" ht="12.75" customHeight="1" x14ac:dyDescent="0.2">
      <c r="B65" s="13"/>
      <c r="C65" s="14"/>
      <c r="D65" s="15"/>
      <c r="E65" s="16"/>
    </row>
    <row r="66" spans="2:5" ht="12.75" customHeight="1" x14ac:dyDescent="0.2">
      <c r="B66" s="13"/>
      <c r="C66" s="14"/>
      <c r="D66" s="15"/>
      <c r="E66" s="16"/>
    </row>
    <row r="67" spans="2:5" ht="12.75" customHeight="1" x14ac:dyDescent="0.2">
      <c r="B67" s="13"/>
      <c r="C67" s="14"/>
      <c r="D67" s="15"/>
      <c r="E67" s="16"/>
    </row>
    <row r="68" spans="2:5" ht="12.75" customHeight="1" x14ac:dyDescent="0.2">
      <c r="B68" s="13"/>
      <c r="C68" s="14"/>
      <c r="D68" s="15"/>
      <c r="E68" s="16"/>
    </row>
    <row r="69" spans="2:5" ht="12.75" customHeight="1" x14ac:dyDescent="0.2">
      <c r="B69" s="13"/>
      <c r="C69" s="14"/>
      <c r="D69" s="15"/>
      <c r="E69" s="16"/>
    </row>
    <row r="70" spans="2:5" ht="12.75" customHeight="1" x14ac:dyDescent="0.2">
      <c r="B70" s="13"/>
      <c r="C70" s="14"/>
      <c r="D70" s="15"/>
      <c r="E70" s="16"/>
    </row>
    <row r="71" spans="2:5" ht="12.75" customHeight="1" x14ac:dyDescent="0.2">
      <c r="B71" s="13"/>
      <c r="C71" s="14"/>
      <c r="D71" s="15"/>
      <c r="E71" s="16"/>
    </row>
    <row r="72" spans="2:5" ht="12.75" customHeight="1" x14ac:dyDescent="0.2">
      <c r="B72" s="13"/>
      <c r="C72" s="14"/>
      <c r="D72" s="15"/>
      <c r="E72" s="16"/>
    </row>
    <row r="73" spans="2:5" ht="12.75" customHeight="1" x14ac:dyDescent="0.2">
      <c r="B73" s="13"/>
      <c r="C73" s="14"/>
      <c r="D73" s="15"/>
      <c r="E73" s="16"/>
    </row>
    <row r="74" spans="2:5" ht="12.75" customHeight="1" x14ac:dyDescent="0.2">
      <c r="B74" s="13"/>
      <c r="C74" s="14"/>
      <c r="D74" s="15"/>
      <c r="E74" s="16"/>
    </row>
    <row r="75" spans="2:5" ht="12.75" customHeight="1" x14ac:dyDescent="0.2">
      <c r="B75" s="13"/>
      <c r="C75" s="14"/>
      <c r="D75" s="15"/>
      <c r="E75" s="16"/>
    </row>
    <row r="76" spans="2:5" ht="12.75" customHeight="1" x14ac:dyDescent="0.2">
      <c r="B76" s="13"/>
      <c r="C76" s="14"/>
      <c r="D76" s="15"/>
      <c r="E76" s="16"/>
    </row>
    <row r="77" spans="2:5" ht="12.75" customHeight="1" x14ac:dyDescent="0.2">
      <c r="B77" s="13"/>
      <c r="C77" s="14"/>
      <c r="D77" s="15"/>
      <c r="E77" s="16"/>
    </row>
    <row r="78" spans="2:5" ht="12.75" customHeight="1" x14ac:dyDescent="0.2">
      <c r="B78" s="13"/>
      <c r="C78" s="14"/>
      <c r="D78" s="15"/>
      <c r="E78" s="16"/>
    </row>
    <row r="79" spans="2:5" ht="12.75" customHeight="1" x14ac:dyDescent="0.2">
      <c r="B79" s="13"/>
      <c r="C79" s="14"/>
      <c r="D79" s="15"/>
      <c r="E79" s="16"/>
    </row>
    <row r="80" spans="2:5" ht="12.75" customHeight="1" x14ac:dyDescent="0.2">
      <c r="B80" s="13"/>
      <c r="C80" s="14"/>
      <c r="D80" s="15"/>
      <c r="E80" s="16"/>
    </row>
    <row r="81" spans="2:5" ht="12.75" customHeight="1" x14ac:dyDescent="0.2">
      <c r="B81" s="13"/>
      <c r="C81" s="14"/>
      <c r="D81" s="15"/>
      <c r="E81" s="16"/>
    </row>
    <row r="82" spans="2:5" ht="12.75" customHeight="1" x14ac:dyDescent="0.2">
      <c r="B82" s="13"/>
      <c r="C82" s="14"/>
      <c r="D82" s="15"/>
      <c r="E82" s="16"/>
    </row>
    <row r="83" spans="2:5" ht="12.75" customHeight="1" x14ac:dyDescent="0.2">
      <c r="B83" s="13"/>
      <c r="C83" s="14"/>
      <c r="D83" s="15"/>
      <c r="E83" s="16"/>
    </row>
    <row r="84" spans="2:5" ht="12.75" customHeight="1" x14ac:dyDescent="0.2">
      <c r="B84" s="13"/>
      <c r="C84" s="14"/>
      <c r="D84" s="15"/>
      <c r="E84" s="16"/>
    </row>
    <row r="85" spans="2:5" ht="12.75" customHeight="1" x14ac:dyDescent="0.2">
      <c r="B85" s="13"/>
      <c r="C85" s="14"/>
      <c r="D85" s="15"/>
      <c r="E85" s="16"/>
    </row>
    <row r="86" spans="2:5" ht="12.75" customHeight="1" x14ac:dyDescent="0.2">
      <c r="B86" s="13"/>
      <c r="C86" s="14"/>
      <c r="D86" s="15"/>
      <c r="E86" s="16"/>
    </row>
    <row r="87" spans="2:5" ht="12.75" customHeight="1" x14ac:dyDescent="0.2">
      <c r="B87" s="13"/>
      <c r="C87" s="14"/>
      <c r="D87" s="15"/>
      <c r="E87" s="16"/>
    </row>
    <row r="88" spans="2:5" ht="12.75" customHeight="1" x14ac:dyDescent="0.2">
      <c r="B88" s="13"/>
      <c r="C88" s="14"/>
      <c r="D88" s="15"/>
      <c r="E88" s="16"/>
    </row>
    <row r="89" spans="2:5" ht="12.75" customHeight="1" x14ac:dyDescent="0.2">
      <c r="B89" s="13"/>
      <c r="C89" s="14"/>
      <c r="D89" s="15"/>
      <c r="E89" s="16"/>
    </row>
    <row r="90" spans="2:5" ht="12.75" customHeight="1" x14ac:dyDescent="0.2">
      <c r="B90" s="13"/>
      <c r="C90" s="14"/>
      <c r="D90" s="15"/>
      <c r="E90" s="16"/>
    </row>
    <row r="91" spans="2:5" ht="12.75" customHeight="1" x14ac:dyDescent="0.2">
      <c r="B91" s="13"/>
      <c r="C91" s="14"/>
      <c r="D91" s="15"/>
      <c r="E91" s="16"/>
    </row>
    <row r="92" spans="2:5" ht="12.75" customHeight="1" x14ac:dyDescent="0.2">
      <c r="B92" s="13"/>
      <c r="C92" s="14"/>
      <c r="D92" s="15"/>
      <c r="E92" s="16"/>
    </row>
    <row r="93" spans="2:5" ht="12.75" customHeight="1" x14ac:dyDescent="0.2">
      <c r="B93" s="13"/>
      <c r="C93" s="14"/>
      <c r="D93" s="15"/>
      <c r="E93" s="16"/>
    </row>
    <row r="94" spans="2:5" ht="12.75" customHeight="1" x14ac:dyDescent="0.2">
      <c r="B94" s="13"/>
      <c r="C94" s="14"/>
      <c r="D94" s="15"/>
      <c r="E94" s="16"/>
    </row>
    <row r="95" spans="2:5" ht="12.75" customHeight="1" x14ac:dyDescent="0.2">
      <c r="B95" s="13"/>
      <c r="C95" s="14"/>
      <c r="D95" s="15"/>
      <c r="E95" s="16"/>
    </row>
    <row r="96" spans="2:5" ht="12.75" customHeight="1" x14ac:dyDescent="0.2">
      <c r="B96" s="13"/>
      <c r="C96" s="14"/>
      <c r="D96" s="15"/>
      <c r="E96" s="16"/>
    </row>
    <row r="97" spans="2:5" ht="12.75" customHeight="1" x14ac:dyDescent="0.2">
      <c r="B97" s="13"/>
      <c r="C97" s="14"/>
      <c r="D97" s="15"/>
      <c r="E97" s="16"/>
    </row>
    <row r="98" spans="2:5" ht="12.75" customHeight="1" x14ac:dyDescent="0.2">
      <c r="B98" s="13"/>
      <c r="C98" s="14"/>
      <c r="D98" s="15"/>
      <c r="E98" s="16"/>
    </row>
    <row r="99" spans="2:5" ht="12.75" customHeight="1" x14ac:dyDescent="0.2">
      <c r="B99" s="13"/>
      <c r="C99" s="14"/>
      <c r="D99" s="15"/>
      <c r="E99" s="16"/>
    </row>
    <row r="100" spans="2:5" ht="12.75" customHeight="1" x14ac:dyDescent="0.2">
      <c r="B100" s="13"/>
      <c r="C100" s="23"/>
      <c r="D100" s="24"/>
      <c r="E100" s="25"/>
    </row>
    <row r="101" spans="2:5" ht="12.75" customHeight="1" x14ac:dyDescent="0.2">
      <c r="B101" s="13"/>
      <c r="C101" s="23"/>
      <c r="D101" s="24"/>
      <c r="E101" s="25"/>
    </row>
    <row r="102" spans="2:5" ht="12.75" customHeight="1" x14ac:dyDescent="0.2">
      <c r="B102" s="13"/>
      <c r="C102" s="23"/>
      <c r="D102" s="24"/>
      <c r="E102" s="25"/>
    </row>
    <row r="103" spans="2:5" ht="12.75" customHeight="1" x14ac:dyDescent="0.2">
      <c r="B103" s="13"/>
      <c r="C103" s="23"/>
      <c r="D103" s="24"/>
      <c r="E103" s="25"/>
    </row>
    <row r="104" spans="2:5" ht="12.75" customHeight="1" x14ac:dyDescent="0.2">
      <c r="B104" s="13"/>
      <c r="C104" s="23"/>
      <c r="D104" s="24"/>
      <c r="E104" s="25"/>
    </row>
    <row r="105" spans="2:5" ht="12.75" customHeight="1" x14ac:dyDescent="0.2">
      <c r="B105" s="26"/>
      <c r="C105" s="27"/>
      <c r="D105" s="28"/>
      <c r="E105" s="29"/>
    </row>
  </sheetData>
  <mergeCells count="9">
    <mergeCell ref="H19:I19"/>
    <mergeCell ref="H20:I20"/>
    <mergeCell ref="H21:I21"/>
    <mergeCell ref="B4:E4"/>
    <mergeCell ref="B2:E2"/>
    <mergeCell ref="H2:I2"/>
    <mergeCell ref="B3:E3"/>
    <mergeCell ref="H10:I10"/>
    <mergeCell ref="H17:I17"/>
  </mergeCells>
  <conditionalFormatting sqref="I7">
    <cfRule type="cellIs" dxfId="0" priority="2" operator="greaterThanOr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activeCell="H13" sqref="H13"/>
    </sheetView>
  </sheetViews>
  <sheetFormatPr defaultColWidth="11.5703125" defaultRowHeight="12.75" x14ac:dyDescent="0.2"/>
  <cols>
    <col min="1" max="1" width="13" style="30" customWidth="1"/>
    <col min="2" max="2" width="23.42578125" style="31" customWidth="1"/>
    <col min="3" max="3" width="11.5703125" style="32"/>
    <col min="4" max="4" width="11.5703125" style="30"/>
    <col min="5" max="5" width="10.140625" style="30" customWidth="1"/>
    <col min="6" max="6" width="4" style="30" customWidth="1"/>
    <col min="7" max="7" width="28.140625" style="31" customWidth="1"/>
    <col min="8" max="9" width="11.5703125" style="30"/>
    <col min="10" max="10" width="38.7109375" style="30" customWidth="1"/>
    <col min="11" max="11" width="11.5703125" style="33"/>
    <col min="12" max="16384" width="11.5703125" style="30"/>
  </cols>
  <sheetData>
    <row r="1" spans="1:10" x14ac:dyDescent="0.2">
      <c r="A1" s="34"/>
      <c r="B1" s="78" t="s">
        <v>18</v>
      </c>
      <c r="C1" s="78"/>
      <c r="D1" s="78"/>
      <c r="G1" s="79" t="s">
        <v>19</v>
      </c>
      <c r="H1" s="79"/>
      <c r="I1" s="79"/>
      <c r="J1" s="79"/>
    </row>
    <row r="2" spans="1:10" ht="12.75" customHeight="1" x14ac:dyDescent="0.2">
      <c r="A2" s="34"/>
      <c r="B2" s="78"/>
      <c r="C2" s="78"/>
      <c r="D2" s="78"/>
      <c r="G2" s="79"/>
      <c r="H2" s="79"/>
      <c r="I2" s="79"/>
      <c r="J2" s="79"/>
    </row>
    <row r="3" spans="1:10" ht="20.100000000000001" customHeight="1" x14ac:dyDescent="0.2">
      <c r="A3" s="34"/>
      <c r="B3" s="35" t="s">
        <v>2</v>
      </c>
      <c r="C3" s="80" t="s">
        <v>20</v>
      </c>
      <c r="D3" s="80"/>
      <c r="E3" s="36"/>
      <c r="F3" s="36"/>
      <c r="G3" s="35" t="s">
        <v>21</v>
      </c>
      <c r="H3" s="68" t="s">
        <v>22</v>
      </c>
      <c r="I3" s="68"/>
      <c r="J3" s="68"/>
    </row>
    <row r="4" spans="1:10" ht="12.75" customHeight="1" x14ac:dyDescent="0.2">
      <c r="A4" s="34"/>
      <c r="B4" s="37" t="s">
        <v>23</v>
      </c>
      <c r="C4" s="81">
        <v>218</v>
      </c>
      <c r="D4" s="81"/>
      <c r="G4" s="82" t="s">
        <v>24</v>
      </c>
      <c r="H4" s="83" t="s">
        <v>25</v>
      </c>
      <c r="I4" s="83"/>
      <c r="J4" s="83"/>
    </row>
    <row r="5" spans="1:10" ht="12.75" customHeight="1" x14ac:dyDescent="0.2">
      <c r="A5" s="34"/>
      <c r="B5" s="37" t="s">
        <v>26</v>
      </c>
      <c r="C5" s="72">
        <v>111</v>
      </c>
      <c r="D5" s="72"/>
      <c r="G5" s="82"/>
      <c r="H5" s="83"/>
      <c r="I5" s="83"/>
      <c r="J5" s="83"/>
    </row>
    <row r="6" spans="1:10" ht="12.75" customHeight="1" x14ac:dyDescent="0.2">
      <c r="A6" s="34"/>
      <c r="B6" s="37" t="s">
        <v>27</v>
      </c>
      <c r="C6" s="75">
        <f>C4-C5</f>
        <v>107</v>
      </c>
      <c r="D6" s="75"/>
      <c r="G6" s="76" t="s">
        <v>28</v>
      </c>
      <c r="H6" s="73" t="s">
        <v>29</v>
      </c>
      <c r="I6" s="73"/>
      <c r="J6" s="73"/>
    </row>
    <row r="7" spans="1:10" ht="12.75" customHeight="1" x14ac:dyDescent="0.2">
      <c r="A7" s="34"/>
      <c r="B7" s="37" t="s">
        <v>30</v>
      </c>
      <c r="C7" s="77">
        <f>C5/C4</f>
        <v>0.50917431192660545</v>
      </c>
      <c r="D7" s="77"/>
      <c r="G7" s="76"/>
      <c r="H7" s="73"/>
      <c r="I7" s="73"/>
      <c r="J7" s="73"/>
    </row>
    <row r="8" spans="1:10" ht="12.75" customHeight="1" x14ac:dyDescent="0.2">
      <c r="A8" s="34"/>
      <c r="B8" s="37" t="s">
        <v>31</v>
      </c>
      <c r="C8" s="72">
        <v>7</v>
      </c>
      <c r="D8" s="72"/>
      <c r="G8" s="76"/>
      <c r="H8" s="73"/>
      <c r="I8" s="73"/>
      <c r="J8" s="73"/>
    </row>
    <row r="9" spans="1:10" ht="12.75" customHeight="1" x14ac:dyDescent="0.2">
      <c r="A9" s="34"/>
      <c r="B9" s="37" t="s">
        <v>32</v>
      </c>
      <c r="C9" s="71">
        <f>C5/C8</f>
        <v>15.857142857142858</v>
      </c>
      <c r="D9" s="71"/>
      <c r="H9" s="66"/>
      <c r="I9" s="66"/>
      <c r="J9" s="66"/>
    </row>
    <row r="10" spans="1:10" ht="15.75" x14ac:dyDescent="0.2">
      <c r="A10" s="34"/>
      <c r="B10" s="37" t="s">
        <v>33</v>
      </c>
      <c r="C10" s="72">
        <v>10</v>
      </c>
      <c r="D10" s="72"/>
      <c r="G10" s="38"/>
      <c r="H10" s="39"/>
      <c r="I10" s="39"/>
      <c r="J10" s="39"/>
    </row>
    <row r="11" spans="1:10" ht="15.75" x14ac:dyDescent="0.2">
      <c r="A11" s="34"/>
      <c r="B11" s="37" t="s">
        <v>34</v>
      </c>
      <c r="C11" s="71">
        <f>IF(C10="","",C5/C10)</f>
        <v>11.1</v>
      </c>
      <c r="D11" s="71"/>
      <c r="G11" s="39"/>
      <c r="H11" s="39"/>
      <c r="I11" s="39"/>
      <c r="J11" s="39"/>
    </row>
    <row r="12" spans="1:10" ht="13.35" customHeight="1" x14ac:dyDescent="0.2">
      <c r="A12" s="34"/>
      <c r="G12" s="40"/>
      <c r="H12" s="41"/>
      <c r="I12" s="40"/>
      <c r="J12" s="42" t="s">
        <v>35</v>
      </c>
    </row>
    <row r="13" spans="1:10" ht="18.600000000000001" customHeight="1" x14ac:dyDescent="0.2">
      <c r="G13" s="43"/>
      <c r="H13" s="73"/>
      <c r="I13" s="73"/>
      <c r="J13" s="73"/>
    </row>
    <row r="14" spans="1:10" x14ac:dyDescent="0.2">
      <c r="B14" s="74" t="s">
        <v>36</v>
      </c>
      <c r="C14" s="74"/>
      <c r="D14" s="74"/>
      <c r="E14" s="74"/>
      <c r="F14" s="74"/>
      <c r="G14" s="74"/>
      <c r="H14" s="73"/>
      <c r="I14" s="73"/>
      <c r="J14" s="73"/>
    </row>
    <row r="15" spans="1:10" x14ac:dyDescent="0.2">
      <c r="B15" s="74"/>
      <c r="C15" s="74"/>
      <c r="D15" s="74"/>
      <c r="E15" s="74"/>
      <c r="F15" s="74"/>
      <c r="G15" s="74"/>
      <c r="H15" s="73"/>
      <c r="I15" s="73"/>
      <c r="J15" s="73"/>
    </row>
    <row r="16" spans="1:10" ht="21.6" customHeight="1" x14ac:dyDescent="0.2">
      <c r="B16" s="67" t="s">
        <v>21</v>
      </c>
      <c r="C16" s="67"/>
      <c r="D16" s="68" t="s">
        <v>22</v>
      </c>
      <c r="E16" s="68" t="s">
        <v>37</v>
      </c>
      <c r="F16" s="68"/>
      <c r="G16" s="68"/>
      <c r="H16" s="66"/>
      <c r="I16" s="66"/>
      <c r="J16" s="66"/>
    </row>
    <row r="17" spans="2:10" ht="13.5" x14ac:dyDescent="0.2">
      <c r="B17" s="69" t="s">
        <v>38</v>
      </c>
      <c r="C17" s="69"/>
      <c r="D17" s="70" t="s">
        <v>39</v>
      </c>
      <c r="E17" s="70" t="s">
        <v>37</v>
      </c>
      <c r="F17" s="70"/>
      <c r="G17" s="70"/>
      <c r="H17" s="66"/>
      <c r="I17" s="66"/>
      <c r="J17" s="66"/>
    </row>
    <row r="18" spans="2:10" ht="14.25" x14ac:dyDescent="0.2">
      <c r="B18" s="65"/>
      <c r="C18" s="65"/>
      <c r="D18" s="64"/>
      <c r="E18" s="64" t="s">
        <v>37</v>
      </c>
      <c r="F18" s="64"/>
      <c r="H18" s="66"/>
      <c r="I18" s="66"/>
      <c r="J18" s="66"/>
    </row>
    <row r="19" spans="2:10" ht="14.25" x14ac:dyDescent="0.2">
      <c r="B19" s="65"/>
      <c r="C19" s="65"/>
      <c r="D19" s="64"/>
      <c r="E19" s="64" t="s">
        <v>37</v>
      </c>
      <c r="F19" s="64"/>
      <c r="H19" s="66"/>
      <c r="I19" s="66"/>
      <c r="J19" s="66"/>
    </row>
    <row r="20" spans="2:10" ht="14.25" x14ac:dyDescent="0.2">
      <c r="B20" s="65"/>
      <c r="C20" s="65"/>
      <c r="D20" s="64"/>
      <c r="E20" s="64" t="s">
        <v>37</v>
      </c>
      <c r="F20" s="64"/>
      <c r="H20" s="66"/>
      <c r="I20" s="66"/>
      <c r="J20" s="66"/>
    </row>
    <row r="21" spans="2:10" ht="14.25" x14ac:dyDescent="0.2">
      <c r="B21" s="65"/>
      <c r="C21" s="65"/>
      <c r="D21" s="64"/>
      <c r="E21" s="64" t="s">
        <v>37</v>
      </c>
      <c r="F21" s="64"/>
      <c r="H21" s="66"/>
      <c r="I21" s="66"/>
      <c r="J21" s="66"/>
    </row>
    <row r="22" spans="2:10" ht="14.25" x14ac:dyDescent="0.2">
      <c r="B22" s="65"/>
      <c r="C22" s="65"/>
      <c r="D22" s="64"/>
      <c r="E22" s="64" t="s">
        <v>37</v>
      </c>
      <c r="F22" s="64"/>
    </row>
    <row r="23" spans="2:10" ht="14.25" x14ac:dyDescent="0.2">
      <c r="B23" s="65"/>
      <c r="C23" s="65"/>
      <c r="D23" s="64"/>
      <c r="E23" s="64" t="s">
        <v>37</v>
      </c>
      <c r="F23" s="64"/>
    </row>
    <row r="24" spans="2:10" ht="14.25" x14ac:dyDescent="0.2">
      <c r="D24" s="64"/>
      <c r="E24" s="64" t="s">
        <v>37</v>
      </c>
      <c r="F24" s="64"/>
    </row>
    <row r="25" spans="2:10" ht="14.25" x14ac:dyDescent="0.2">
      <c r="D25" s="64"/>
      <c r="E25" s="64" t="s">
        <v>37</v>
      </c>
      <c r="F25" s="64"/>
    </row>
    <row r="26" spans="2:10" ht="14.25" x14ac:dyDescent="0.2">
      <c r="D26" s="64"/>
      <c r="E26" s="64" t="s">
        <v>37</v>
      </c>
      <c r="F26" s="64"/>
    </row>
  </sheetData>
  <mergeCells count="44">
    <mergeCell ref="B1:D2"/>
    <mergeCell ref="G1:J2"/>
    <mergeCell ref="C3:D3"/>
    <mergeCell ref="H3:J3"/>
    <mergeCell ref="C4:D4"/>
    <mergeCell ref="G4:G5"/>
    <mergeCell ref="H4:J5"/>
    <mergeCell ref="C5:D5"/>
    <mergeCell ref="C6:D6"/>
    <mergeCell ref="G6:G8"/>
    <mergeCell ref="H6:J8"/>
    <mergeCell ref="C7:D7"/>
    <mergeCell ref="C8:D8"/>
    <mergeCell ref="C9:D9"/>
    <mergeCell ref="H9:J9"/>
    <mergeCell ref="C10:D10"/>
    <mergeCell ref="C11:D11"/>
    <mergeCell ref="H13:J15"/>
    <mergeCell ref="B14:G15"/>
    <mergeCell ref="B16:C16"/>
    <mergeCell ref="D16:G16"/>
    <mergeCell ref="H16:J16"/>
    <mergeCell ref="B17:C17"/>
    <mergeCell ref="D17:G17"/>
    <mergeCell ref="H17:J17"/>
    <mergeCell ref="B18:C18"/>
    <mergeCell ref="D18:F18"/>
    <mergeCell ref="H18:J18"/>
    <mergeCell ref="B19:C19"/>
    <mergeCell ref="D19:F19"/>
    <mergeCell ref="H19:J19"/>
    <mergeCell ref="B20:C20"/>
    <mergeCell ref="D20:F20"/>
    <mergeCell ref="H20:J20"/>
    <mergeCell ref="B21:C21"/>
    <mergeCell ref="D21:F21"/>
    <mergeCell ref="H21:J21"/>
    <mergeCell ref="D25:F25"/>
    <mergeCell ref="D26:F26"/>
    <mergeCell ref="B22:C22"/>
    <mergeCell ref="D22:F22"/>
    <mergeCell ref="B23:C23"/>
    <mergeCell ref="D23:F23"/>
    <mergeCell ref="D24:F24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Agendamentos</vt:lpstr>
      <vt:lpstr>Relação Videos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Recepção Odonto Excellence Ponte do Imaruim</dc:creator>
  <dc:description/>
  <cp:lastModifiedBy>Recepção Odonto Excellence Ponte do Imaruim</cp:lastModifiedBy>
  <cp:revision>6</cp:revision>
  <dcterms:created xsi:type="dcterms:W3CDTF">2026-07-29T12:09:53Z</dcterms:created>
  <dcterms:modified xsi:type="dcterms:W3CDTF">2026-08-03T21:00:19Z</dcterms:modified>
  <dc:language>pt-BR</dc:language>
</cp:coreProperties>
</file>